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21b73a795744a6b/Desktop/"/>
    </mc:Choice>
  </mc:AlternateContent>
  <xr:revisionPtr revIDLastSave="0" documentId="8_{2339A83F-C8E1-4D9A-A8F3-4A84B8229C88}" xr6:coauthVersionLast="47" xr6:coauthVersionMax="47" xr10:uidLastSave="{00000000-0000-0000-0000-000000000000}"/>
  <bookViews>
    <workbookView xWindow="1860" yWindow="1860" windowWidth="14400" windowHeight="7270" xr2:uid="{00000000-000D-0000-FFFF-FFFF00000000}"/>
  </bookViews>
  <sheets>
    <sheet name="Bulk Upload Template" sheetId="1" r:id="rId1"/>
    <sheet name="Dashboard &amp; Summary" sheetId="2" r:id="rId2"/>
    <sheet name="QA Test Matrix" sheetId="3" r:id="rId3"/>
  </sheets>
  <calcPr calcId="181029"/>
</workbook>
</file>

<file path=xl/calcChain.xml><?xml version="1.0" encoding="utf-8"?>
<calcChain xmlns="http://schemas.openxmlformats.org/spreadsheetml/2006/main">
  <c r="G16" i="2" l="1"/>
  <c r="I16" i="2" s="1"/>
  <c r="E16" i="2"/>
  <c r="F16" i="2" s="1"/>
  <c r="D16" i="2"/>
  <c r="H16" i="2" s="1"/>
  <c r="C16" i="2"/>
  <c r="B16" i="2"/>
  <c r="A16" i="2"/>
  <c r="G15" i="2"/>
  <c r="D15" i="2"/>
  <c r="H15" i="2" s="1"/>
  <c r="C15" i="2"/>
  <c r="I15" i="2" s="1"/>
  <c r="B15" i="2"/>
  <c r="A15" i="2"/>
  <c r="G14" i="2"/>
  <c r="D14" i="2"/>
  <c r="H14" i="2" s="1"/>
  <c r="C14" i="2"/>
  <c r="I14" i="2" s="1"/>
  <c r="B14" i="2"/>
  <c r="A14" i="2"/>
  <c r="I13" i="2"/>
  <c r="G13" i="2"/>
  <c r="D13" i="2"/>
  <c r="E13" i="2" s="1"/>
  <c r="F13" i="2" s="1"/>
  <c r="C13" i="2"/>
  <c r="B13" i="2"/>
  <c r="A13" i="2"/>
  <c r="I12" i="2"/>
  <c r="G12" i="2"/>
  <c r="E12" i="2"/>
  <c r="F12" i="2" s="1"/>
  <c r="D12" i="2"/>
  <c r="H12" i="2" s="1"/>
  <c r="C12" i="2"/>
  <c r="B12" i="2"/>
  <c r="A12" i="2"/>
  <c r="G11" i="2"/>
  <c r="D11" i="2"/>
  <c r="H11" i="2" s="1"/>
  <c r="C11" i="2"/>
  <c r="I11" i="2" s="1"/>
  <c r="B11" i="2"/>
  <c r="A11" i="2"/>
  <c r="G10" i="2"/>
  <c r="D10" i="2"/>
  <c r="H10" i="2" s="1"/>
  <c r="C10" i="2"/>
  <c r="I10" i="2" s="1"/>
  <c r="B10" i="2"/>
  <c r="A10" i="2"/>
  <c r="I9" i="2"/>
  <c r="G9" i="2"/>
  <c r="D9" i="2"/>
  <c r="E9" i="2" s="1"/>
  <c r="F9" i="2" s="1"/>
  <c r="C9" i="2"/>
  <c r="B9" i="2"/>
  <c r="A9" i="2"/>
  <c r="I8" i="2"/>
  <c r="G8" i="2"/>
  <c r="E8" i="2"/>
  <c r="F8" i="2" s="1"/>
  <c r="D8" i="2"/>
  <c r="H8" i="2" s="1"/>
  <c r="C8" i="2"/>
  <c r="B8" i="2"/>
  <c r="A8" i="2"/>
  <c r="G7" i="2"/>
  <c r="G17" i="2" s="1"/>
  <c r="D7" i="2"/>
  <c r="H7" i="2" s="1"/>
  <c r="C7" i="2"/>
  <c r="I7" i="2" s="1"/>
  <c r="B7" i="2"/>
  <c r="A7" i="2"/>
  <c r="G4" i="2"/>
  <c r="E4" i="2"/>
  <c r="C4" i="2"/>
  <c r="A4" i="2"/>
  <c r="I17" i="2" l="1"/>
  <c r="D17" i="2"/>
  <c r="H9" i="2"/>
  <c r="H17" i="2" s="1"/>
  <c r="H13" i="2"/>
  <c r="C17" i="2"/>
  <c r="E10" i="2"/>
  <c r="F10" i="2" s="1"/>
  <c r="E14" i="2"/>
  <c r="F14" i="2" s="1"/>
  <c r="E7" i="2"/>
  <c r="E11" i="2"/>
  <c r="F11" i="2" s="1"/>
  <c r="E15" i="2"/>
  <c r="F15" i="2" s="1"/>
  <c r="E17" i="2" l="1"/>
  <c r="F7" i="2"/>
  <c r="F17" i="2" s="1"/>
</calcChain>
</file>

<file path=xl/sharedStrings.xml><?xml version="1.0" encoding="utf-8"?>
<sst xmlns="http://schemas.openxmlformats.org/spreadsheetml/2006/main" count="157" uniqueCount="130">
  <si>
    <t>Name*</t>
  </si>
  <si>
    <t>Category*</t>
  </si>
  <si>
    <t>BranchName</t>
  </si>
  <si>
    <t>SellingPrice*</t>
  </si>
  <si>
    <t>CostPrice*</t>
  </si>
  <si>
    <t>Quantity*</t>
  </si>
  <si>
    <t>Vendor</t>
  </si>
  <si>
    <t>MinimumStockThreshold</t>
  </si>
  <si>
    <t>BulkSellingPrice</t>
  </si>
  <si>
    <t>BulkCostPrice</t>
  </si>
  <si>
    <t>BulkQuantity</t>
  </si>
  <si>
    <t>UnitsInBulk</t>
  </si>
  <si>
    <t>ExpiryDate (yyyy-MM-dd)</t>
  </si>
  <si>
    <t>SerialNumber</t>
  </si>
  <si>
    <t>Oxford Advanced Learner's Dictionary 10th Ed</t>
  </si>
  <si>
    <t>Educational Materials</t>
  </si>
  <si>
    <t>GodokPharm CAL</t>
  </si>
  <si>
    <t>Oxford University Press</t>
  </si>
  <si>
    <t>2028-12-31</t>
  </si>
  <si>
    <t>EDU-OUP-001</t>
  </si>
  <si>
    <t>Cambridge IGCSE Mathematics Coursebook</t>
  </si>
  <si>
    <t>Cambridge University Press</t>
  </si>
  <si>
    <t>2029-06-30</t>
  </si>
  <si>
    <t>EDU-CUP-002</t>
  </si>
  <si>
    <t>Casio FX-991EX ClassWiz Scientific Calculator</t>
  </si>
  <si>
    <t>Casio Electronics</t>
  </si>
  <si>
    <t>2030-01-15</t>
  </si>
  <si>
    <t>EDU-CAS-003</t>
  </si>
  <si>
    <t>Crayola Ultimate Crayon Collection 152 Count</t>
  </si>
  <si>
    <t>Crayola LLC</t>
  </si>
  <si>
    <t>2028-09-30</t>
  </si>
  <si>
    <t>EDU-CRY-004</t>
  </si>
  <si>
    <t>Staedtler Noris HB Pencils (Box of 12)</t>
  </si>
  <si>
    <t>Staedtler Mars GmbH</t>
  </si>
  <si>
    <t>2029-11-30</t>
  </si>
  <si>
    <t>EDU-STD-005</t>
  </si>
  <si>
    <t>Faber-Castell Classic Colour Pencils 36 Pack</t>
  </si>
  <si>
    <t>Faber-Castell AG</t>
  </si>
  <si>
    <t>2028-08-31</t>
  </si>
  <si>
    <t>EDU-FBC-006</t>
  </si>
  <si>
    <t>Maped Technic 8-Piece Math Geometry Set</t>
  </si>
  <si>
    <t>Maped SAS</t>
  </si>
  <si>
    <t>2030-05-31</t>
  </si>
  <si>
    <t>EDU-MAP-007</t>
  </si>
  <si>
    <t>Daler-Rowney A3 Spiral Artist Sketchbook 140gsm</t>
  </si>
  <si>
    <t>Daler-Rowney Ltd</t>
  </si>
  <si>
    <t>2028-03-31</t>
  </si>
  <si>
    <t>EDU-DRW-008</t>
  </si>
  <si>
    <t>Schneider Slider Basic Ballpoint Pens Box of 10</t>
  </si>
  <si>
    <t>Schneider Schreibgeräte</t>
  </si>
  <si>
    <t>2029-10-31</t>
  </si>
  <si>
    <t>EDU-SCH-009</t>
  </si>
  <si>
    <t>Oxford Student Math Graph Notebook A4 200 Pages</t>
  </si>
  <si>
    <t>Oxford Paper Products</t>
  </si>
  <si>
    <t>2030-12-31</t>
  </si>
  <si>
    <t>EDU-OUP-010</t>
  </si>
  <si>
    <t>QA BULK PRODUCT UPLOAD - EDUCATIONAL MATERIALS DASHBOARD</t>
  </si>
  <si>
    <t>TOTAL PRODUCTS</t>
  </si>
  <si>
    <t>TOTAL UNIT INVENTORY</t>
  </si>
  <si>
    <t>TOTAL INVENTORY INVESTMENT</t>
  </si>
  <si>
    <t>EXPECTED REVENUE</t>
  </si>
  <si>
    <t>Product Name</t>
  </si>
  <si>
    <t>Category</t>
  </si>
  <si>
    <t>Selling Price (₦)</t>
  </si>
  <si>
    <t>Cost Price (₦)</t>
  </si>
  <si>
    <t>Margin per Unit (₦)</t>
  </si>
  <si>
    <t>Profit Margin %</t>
  </si>
  <si>
    <t>Stock Qty</t>
  </si>
  <si>
    <t>Total Cost Value (₦)</t>
  </si>
  <si>
    <t>Total Sales Value (₦)</t>
  </si>
  <si>
    <t>TOTAL / AVERAGE SUMMARY</t>
  </si>
  <si>
    <t>10 Products</t>
  </si>
  <si>
    <t>QA BULK UPLOAD TEST MATRIX &amp; VALIDATION RESULTS</t>
  </si>
  <si>
    <t>Test ID</t>
  </si>
  <si>
    <t>Validation Scope</t>
  </si>
  <si>
    <t>Scenario Description</t>
  </si>
  <si>
    <t>Expected Behavior</t>
  </si>
  <si>
    <t>Validation Rule</t>
  </si>
  <si>
    <t>Status</t>
  </si>
  <si>
    <t>TC-EDU-001</t>
  </si>
  <si>
    <t>Category Rule</t>
  </si>
  <si>
    <t>Validate all 10 products are assigned to 'Educational Materials'</t>
  </si>
  <si>
    <t>Import successful with category set to Educational Materials</t>
  </si>
  <si>
    <t>Category* == 'Educational Materials'</t>
  </si>
  <si>
    <t>PASSED</t>
  </si>
  <si>
    <t>TC-EDU-002</t>
  </si>
  <si>
    <t>Expiry Date Future Rule</t>
  </si>
  <si>
    <t>Verify ExpiryDate is strictly in the future (&gt; current date)</t>
  </si>
  <si>
    <t>All 10 products have valid future dates (2028 - 2030)</t>
  </si>
  <si>
    <t>ExpiryDate &gt; Current Date</t>
  </si>
  <si>
    <t>TC-EDU-003</t>
  </si>
  <si>
    <t>Mandatory Fields Check</t>
  </si>
  <si>
    <t>Verify mandatory fields (* marked) are populated</t>
  </si>
  <si>
    <t>100% compliance with zero null value errors on upload</t>
  </si>
  <si>
    <t>NOT NULL(Name*, Category*, Price*, Qty*)</t>
  </si>
  <si>
    <t>TC-EDU-004</t>
  </si>
  <si>
    <t>Numeric &amp; Price Format</t>
  </si>
  <si>
    <t>Ensure SellingPrice*, CostPrice*, Quantity* are valid integers</t>
  </si>
  <si>
    <t>Correctly parsed as numbers without data type mismatch</t>
  </si>
  <si>
    <t>ISNUMERIC(Price, Qty)</t>
  </si>
  <si>
    <t>TC-EDU-005</t>
  </si>
  <si>
    <t>Margin Integrity Check</t>
  </si>
  <si>
    <t>Verify SellingPrice &gt; CostPrice across all 10 products</t>
  </si>
  <si>
    <t>Positive gross margin confirmed across all educational items</t>
  </si>
  <si>
    <t>SellingPrice* &gt; CostPrice*</t>
  </si>
  <si>
    <t>TC-EDU-006</t>
  </si>
  <si>
    <t>SKU Uniqueness</t>
  </si>
  <si>
    <t>Check SerialNumber (EDU-OUP-001 to EDU-OUP-010) uniqueness</t>
  </si>
  <si>
    <t>All 10 serial numbers registered as unique SKUs</t>
  </si>
  <si>
    <t>COUNT(SerialNumber) == 10</t>
  </si>
  <si>
    <t>TC-EDU-007</t>
  </si>
  <si>
    <t>Bulk Pricing Rule</t>
  </si>
  <si>
    <t>Validate bulk pricing offers discount relative to single unit</t>
  </si>
  <si>
    <t>Bulk unit price is lower than single unit selling price</t>
  </si>
  <si>
    <t>BulkSellingPrice &lt; (SellingPrice * UnitsInBulk)</t>
  </si>
  <si>
    <t>TC-EDU-008</t>
  </si>
  <si>
    <t>Reorder Level Check</t>
  </si>
  <si>
    <t>Verify MinimumStockThreshold field is correctly defined</t>
  </si>
  <si>
    <t>Reorder threshold properly set for stock alert triggers</t>
  </si>
  <si>
    <t>MinimumStockThreshold &gt;= 1</t>
  </si>
  <si>
    <t>TC-EDU-009</t>
  </si>
  <si>
    <t>Vendor Association</t>
  </si>
  <si>
    <t>Ensure Vendor strings map to approved publishing/educational vendors</t>
  </si>
  <si>
    <t>Vendors (Oxford, Cambridge, Casio, Crayola) cleanly imported</t>
  </si>
  <si>
    <t>Vendor IS NOT NULL</t>
  </si>
  <si>
    <t>TC-EDU-010</t>
  </si>
  <si>
    <t>Template Schema Match</t>
  </si>
  <si>
    <t>Ensure file columns match standard system template header exact strings</t>
  </si>
  <si>
    <t>Column mapping verified with 100% schema alignment</t>
  </si>
  <si>
    <t>Header String Match ==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</si>
</sst>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₦#,##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5"/>
      <color rgb="FFFFFFFF"/>
      <name val="Segoe UI"/>
    </font>
    <font>
      <b/>
      <sz val="9"/>
      <color rgb="FF595959"/>
      <name val="Segoe UI"/>
    </font>
    <font>
      <b/>
      <sz val="13"/>
      <color rgb="FF1F4E79"/>
      <name val="Segoe UI"/>
    </font>
    <font>
      <b/>
      <sz val="10"/>
      <color rgb="FFFFFFFF"/>
      <name val="Segoe UI"/>
    </font>
    <font>
      <b/>
      <sz val="10"/>
      <color rgb="FF1F4E79"/>
      <name val="Segoe UI"/>
    </font>
    <font>
      <b/>
      <sz val="9"/>
      <color rgb="FF1F4E79"/>
      <name val="Segoe UI"/>
    </font>
    <font>
      <b/>
      <sz val="9"/>
      <color rgb="FF37562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6" fillId="4" borderId="0" xfId="0" applyFont="1" applyFill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3" fontId="7" fillId="5" borderId="3" xfId="0" applyNumberFormat="1" applyFont="1" applyFill="1" applyBorder="1"/>
    <xf numFmtId="165" fontId="7" fillId="5" borderId="3" xfId="0" applyNumberFormat="1" applyFont="1" applyFill="1" applyBorder="1"/>
    <xf numFmtId="0" fontId="6" fillId="4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4" fontId="5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Inventory Valuation Breakdown by Product (₦)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Summary'!$I$6</c:f>
              <c:strCache>
                <c:ptCount val="1"/>
                <c:pt idx="0">
                  <c:v>Total Sales Value (₦)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&amp; Summary'!$A$7:$A$16</c:f>
              <c:strCache>
                <c:ptCount val="10"/>
                <c:pt idx="0">
                  <c:v>Oxford Advanced Learner's Dictionary 10th Ed</c:v>
                </c:pt>
                <c:pt idx="1">
                  <c:v>Cambridge IGCSE Mathematics Coursebook</c:v>
                </c:pt>
                <c:pt idx="2">
                  <c:v>Casio FX-991EX ClassWiz Scientific Calculator</c:v>
                </c:pt>
                <c:pt idx="3">
                  <c:v>Crayola Ultimate Crayon Collection 152 Count</c:v>
                </c:pt>
                <c:pt idx="4">
                  <c:v>Staedtler Noris HB Pencils (Box of 12)</c:v>
                </c:pt>
                <c:pt idx="5">
                  <c:v>Faber-Castell Classic Colour Pencils 36 Pack</c:v>
                </c:pt>
                <c:pt idx="6">
                  <c:v>Maped Technic 8-Piece Math Geometry Set</c:v>
                </c:pt>
                <c:pt idx="7">
                  <c:v>Daler-Rowney A3 Spiral Artist Sketchbook 140gsm</c:v>
                </c:pt>
                <c:pt idx="8">
                  <c:v>Schneider Slider Basic Ballpoint Pens Box of 10</c:v>
                </c:pt>
                <c:pt idx="9">
                  <c:v>Oxford Student Math Graph Notebook A4 200 Pages</c:v>
                </c:pt>
              </c:strCache>
            </c:strRef>
          </c:cat>
          <c:val>
            <c:numRef>
              <c:f>'Dashboard &amp; Summary'!$I$7:$I$16</c:f>
              <c:numCache>
                <c:formatCode>#,##0</c:formatCode>
                <c:ptCount val="10"/>
                <c:pt idx="0">
                  <c:v>2775000</c:v>
                </c:pt>
                <c:pt idx="1">
                  <c:v>2640000</c:v>
                </c:pt>
                <c:pt idx="2">
                  <c:v>5700000</c:v>
                </c:pt>
                <c:pt idx="3">
                  <c:v>2250000</c:v>
                </c:pt>
                <c:pt idx="4">
                  <c:v>960000</c:v>
                </c:pt>
                <c:pt idx="5">
                  <c:v>1372000</c:v>
                </c:pt>
                <c:pt idx="6">
                  <c:v>1125000</c:v>
                </c:pt>
                <c:pt idx="7">
                  <c:v>935000</c:v>
                </c:pt>
                <c:pt idx="8">
                  <c:v>1188000</c:v>
                </c:pt>
                <c:pt idx="9">
                  <c:v>1120000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8-4CD6-8E89-EC2079917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Total Sales Value (₦)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1" customWidth="1"/>
    <col min="2" max="2" width="25" customWidth="1"/>
    <col min="3" max="3" width="18" customWidth="1"/>
    <col min="4" max="4" width="17" customWidth="1"/>
    <col min="5" max="5" width="14" customWidth="1"/>
    <col min="6" max="6" width="13" customWidth="1"/>
    <col min="7" max="7" width="30" customWidth="1"/>
    <col min="8" max="8" width="25" customWidth="1"/>
    <col min="9" max="9" width="20" customWidth="1"/>
    <col min="10" max="10" width="17" customWidth="1"/>
    <col min="11" max="11" width="16" customWidth="1"/>
    <col min="12" max="12" width="15" customWidth="1"/>
    <col min="13" max="13" width="27" customWidth="1"/>
    <col min="14" max="14" width="16" customWidth="1"/>
  </cols>
  <sheetData>
    <row r="1" spans="1:1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35">
      <c r="A2" s="2" t="s">
        <v>14</v>
      </c>
      <c r="B2" s="3" t="s">
        <v>15</v>
      </c>
      <c r="C2" s="2" t="s">
        <v>16</v>
      </c>
      <c r="D2" s="4">
        <v>18500</v>
      </c>
      <c r="E2" s="4">
        <v>14200</v>
      </c>
      <c r="F2" s="4">
        <v>150</v>
      </c>
      <c r="G2" s="2" t="s">
        <v>17</v>
      </c>
      <c r="H2" s="4">
        <v>10</v>
      </c>
      <c r="I2" s="4">
        <v>175000</v>
      </c>
      <c r="J2" s="4">
        <v>135000</v>
      </c>
      <c r="K2" s="4">
        <v>12</v>
      </c>
      <c r="L2" s="4">
        <v>10</v>
      </c>
      <c r="M2" s="3" t="s">
        <v>18</v>
      </c>
      <c r="N2" s="3" t="s">
        <v>19</v>
      </c>
    </row>
    <row r="3" spans="1:14" ht="20" customHeight="1" x14ac:dyDescent="0.35">
      <c r="A3" s="5" t="s">
        <v>20</v>
      </c>
      <c r="B3" s="6" t="s">
        <v>15</v>
      </c>
      <c r="C3" s="5" t="s">
        <v>16</v>
      </c>
      <c r="D3" s="7">
        <v>22000</v>
      </c>
      <c r="E3" s="7">
        <v>17000</v>
      </c>
      <c r="F3" s="7">
        <v>120</v>
      </c>
      <c r="G3" s="5" t="s">
        <v>21</v>
      </c>
      <c r="H3" s="7">
        <v>8</v>
      </c>
      <c r="I3" s="7">
        <v>210000</v>
      </c>
      <c r="J3" s="7">
        <v>162000</v>
      </c>
      <c r="K3" s="7">
        <v>10</v>
      </c>
      <c r="L3" s="7">
        <v>10</v>
      </c>
      <c r="M3" s="6" t="s">
        <v>22</v>
      </c>
      <c r="N3" s="6" t="s">
        <v>23</v>
      </c>
    </row>
    <row r="4" spans="1:14" ht="20" customHeight="1" x14ac:dyDescent="0.35">
      <c r="A4" s="2" t="s">
        <v>24</v>
      </c>
      <c r="B4" s="3" t="s">
        <v>15</v>
      </c>
      <c r="C4" s="2" t="s">
        <v>16</v>
      </c>
      <c r="D4" s="4">
        <v>28500</v>
      </c>
      <c r="E4" s="4">
        <v>22500</v>
      </c>
      <c r="F4" s="4">
        <v>200</v>
      </c>
      <c r="G4" s="2" t="s">
        <v>25</v>
      </c>
      <c r="H4" s="4">
        <v>15</v>
      </c>
      <c r="I4" s="4">
        <v>270000</v>
      </c>
      <c r="J4" s="4">
        <v>215000</v>
      </c>
      <c r="K4" s="4">
        <v>15</v>
      </c>
      <c r="L4" s="4">
        <v>10</v>
      </c>
      <c r="M4" s="3" t="s">
        <v>26</v>
      </c>
      <c r="N4" s="3" t="s">
        <v>27</v>
      </c>
    </row>
    <row r="5" spans="1:14" ht="20" customHeight="1" x14ac:dyDescent="0.35">
      <c r="A5" s="5" t="s">
        <v>28</v>
      </c>
      <c r="B5" s="6" t="s">
        <v>15</v>
      </c>
      <c r="C5" s="5" t="s">
        <v>16</v>
      </c>
      <c r="D5" s="7">
        <v>12500</v>
      </c>
      <c r="E5" s="7">
        <v>9200</v>
      </c>
      <c r="F5" s="7">
        <v>180</v>
      </c>
      <c r="G5" s="5" t="s">
        <v>29</v>
      </c>
      <c r="H5" s="7">
        <v>12</v>
      </c>
      <c r="I5" s="7">
        <v>118000</v>
      </c>
      <c r="J5" s="7">
        <v>87000</v>
      </c>
      <c r="K5" s="7">
        <v>15</v>
      </c>
      <c r="L5" s="7">
        <v>10</v>
      </c>
      <c r="M5" s="6" t="s">
        <v>30</v>
      </c>
      <c r="N5" s="6" t="s">
        <v>31</v>
      </c>
    </row>
    <row r="6" spans="1:14" ht="20" customHeight="1" x14ac:dyDescent="0.35">
      <c r="A6" s="2" t="s">
        <v>32</v>
      </c>
      <c r="B6" s="3" t="s">
        <v>15</v>
      </c>
      <c r="C6" s="2" t="s">
        <v>16</v>
      </c>
      <c r="D6" s="4">
        <v>3200</v>
      </c>
      <c r="E6" s="4">
        <v>2100</v>
      </c>
      <c r="F6" s="4">
        <v>300</v>
      </c>
      <c r="G6" s="2" t="s">
        <v>33</v>
      </c>
      <c r="H6" s="4">
        <v>25</v>
      </c>
      <c r="I6" s="4">
        <v>60000</v>
      </c>
      <c r="J6" s="4">
        <v>40000</v>
      </c>
      <c r="K6" s="4">
        <v>12</v>
      </c>
      <c r="L6" s="4">
        <v>20</v>
      </c>
      <c r="M6" s="3" t="s">
        <v>34</v>
      </c>
      <c r="N6" s="3" t="s">
        <v>35</v>
      </c>
    </row>
    <row r="7" spans="1:14" ht="20" customHeight="1" x14ac:dyDescent="0.35">
      <c r="A7" s="5" t="s">
        <v>36</v>
      </c>
      <c r="B7" s="6" t="s">
        <v>15</v>
      </c>
      <c r="C7" s="5" t="s">
        <v>16</v>
      </c>
      <c r="D7" s="7">
        <v>9800</v>
      </c>
      <c r="E7" s="7">
        <v>7200</v>
      </c>
      <c r="F7" s="7">
        <v>140</v>
      </c>
      <c r="G7" s="5" t="s">
        <v>37</v>
      </c>
      <c r="H7" s="7">
        <v>10</v>
      </c>
      <c r="I7" s="7">
        <v>92000</v>
      </c>
      <c r="J7" s="7">
        <v>68000</v>
      </c>
      <c r="K7" s="7">
        <v>10</v>
      </c>
      <c r="L7" s="7">
        <v>10</v>
      </c>
      <c r="M7" s="6" t="s">
        <v>38</v>
      </c>
      <c r="N7" s="6" t="s">
        <v>39</v>
      </c>
    </row>
    <row r="8" spans="1:14" ht="20" customHeight="1" x14ac:dyDescent="0.35">
      <c r="A8" s="2" t="s">
        <v>40</v>
      </c>
      <c r="B8" s="3" t="s">
        <v>15</v>
      </c>
      <c r="C8" s="2" t="s">
        <v>16</v>
      </c>
      <c r="D8" s="4">
        <v>4500</v>
      </c>
      <c r="E8" s="4">
        <v>3100</v>
      </c>
      <c r="F8" s="4">
        <v>250</v>
      </c>
      <c r="G8" s="2" t="s">
        <v>41</v>
      </c>
      <c r="H8" s="4">
        <v>20</v>
      </c>
      <c r="I8" s="4">
        <v>84000</v>
      </c>
      <c r="J8" s="4">
        <v>58000</v>
      </c>
      <c r="K8" s="4">
        <v>10</v>
      </c>
      <c r="L8" s="4">
        <v>20</v>
      </c>
      <c r="M8" s="3" t="s">
        <v>42</v>
      </c>
      <c r="N8" s="3" t="s">
        <v>43</v>
      </c>
    </row>
    <row r="9" spans="1:14" ht="20" customHeight="1" x14ac:dyDescent="0.35">
      <c r="A9" s="5" t="s">
        <v>44</v>
      </c>
      <c r="B9" s="6" t="s">
        <v>15</v>
      </c>
      <c r="C9" s="5" t="s">
        <v>16</v>
      </c>
      <c r="D9" s="7">
        <v>8500</v>
      </c>
      <c r="E9" s="7">
        <v>6000</v>
      </c>
      <c r="F9" s="7">
        <v>110</v>
      </c>
      <c r="G9" s="5" t="s">
        <v>45</v>
      </c>
      <c r="H9" s="7">
        <v>8</v>
      </c>
      <c r="I9" s="7">
        <v>80000</v>
      </c>
      <c r="J9" s="7">
        <v>56000</v>
      </c>
      <c r="K9" s="7">
        <v>8</v>
      </c>
      <c r="L9" s="7">
        <v>10</v>
      </c>
      <c r="M9" s="6" t="s">
        <v>46</v>
      </c>
      <c r="N9" s="6" t="s">
        <v>47</v>
      </c>
    </row>
    <row r="10" spans="1:14" ht="20" customHeight="1" x14ac:dyDescent="0.35">
      <c r="A10" s="2" t="s">
        <v>48</v>
      </c>
      <c r="B10" s="3" t="s">
        <v>15</v>
      </c>
      <c r="C10" s="2" t="s">
        <v>16</v>
      </c>
      <c r="D10" s="4">
        <v>5400</v>
      </c>
      <c r="E10" s="4">
        <v>3800</v>
      </c>
      <c r="F10" s="4">
        <v>220</v>
      </c>
      <c r="G10" s="2" t="s">
        <v>49</v>
      </c>
      <c r="H10" s="4">
        <v>15</v>
      </c>
      <c r="I10" s="4">
        <v>50000</v>
      </c>
      <c r="J10" s="4">
        <v>35000</v>
      </c>
      <c r="K10" s="4">
        <v>15</v>
      </c>
      <c r="L10" s="4">
        <v>10</v>
      </c>
      <c r="M10" s="3" t="s">
        <v>50</v>
      </c>
      <c r="N10" s="3" t="s">
        <v>51</v>
      </c>
    </row>
    <row r="11" spans="1:14" ht="20" customHeight="1" x14ac:dyDescent="0.35">
      <c r="A11" s="5" t="s">
        <v>52</v>
      </c>
      <c r="B11" s="6" t="s">
        <v>15</v>
      </c>
      <c r="C11" s="5" t="s">
        <v>16</v>
      </c>
      <c r="D11" s="7">
        <v>2800</v>
      </c>
      <c r="E11" s="7">
        <v>1900</v>
      </c>
      <c r="F11" s="7">
        <v>400</v>
      </c>
      <c r="G11" s="5" t="s">
        <v>53</v>
      </c>
      <c r="H11" s="7">
        <v>30</v>
      </c>
      <c r="I11" s="7">
        <v>52000</v>
      </c>
      <c r="J11" s="7">
        <v>35000</v>
      </c>
      <c r="K11" s="7">
        <v>15</v>
      </c>
      <c r="L11" s="7">
        <v>20</v>
      </c>
      <c r="M11" s="6" t="s">
        <v>54</v>
      </c>
      <c r="N11" s="6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/>
  </sheetViews>
  <sheetFormatPr defaultRowHeight="14.5" x14ac:dyDescent="0.35"/>
  <cols>
    <col min="1" max="1" width="59" customWidth="1"/>
    <col min="2" max="2" width="30" customWidth="1"/>
    <col min="3" max="3" width="38" customWidth="1"/>
    <col min="4" max="4" width="30" customWidth="1"/>
    <col min="5" max="5" width="76" customWidth="1"/>
    <col min="6" max="6" width="19" customWidth="1"/>
    <col min="7" max="7" width="76" customWidth="1"/>
    <col min="8" max="8" width="23" customWidth="1"/>
    <col min="9" max="9" width="24" customWidth="1"/>
  </cols>
  <sheetData>
    <row r="1" spans="1:9" ht="36" customHeight="1" x14ac:dyDescent="0.35">
      <c r="A1" s="22" t="s">
        <v>56</v>
      </c>
      <c r="B1" s="23"/>
      <c r="C1" s="23"/>
      <c r="D1" s="23"/>
      <c r="E1" s="23"/>
      <c r="F1" s="23"/>
      <c r="G1" s="23"/>
      <c r="H1" s="23"/>
      <c r="I1" s="23"/>
    </row>
    <row r="3" spans="1:9" ht="18" customHeight="1" x14ac:dyDescent="0.35">
      <c r="A3" s="24" t="s">
        <v>57</v>
      </c>
      <c r="B3" s="20"/>
      <c r="C3" s="24" t="s">
        <v>58</v>
      </c>
      <c r="D3" s="20"/>
      <c r="E3" s="24" t="s">
        <v>59</v>
      </c>
      <c r="F3" s="20"/>
      <c r="G3" s="24" t="s">
        <v>60</v>
      </c>
      <c r="H3" s="23"/>
      <c r="I3" s="20"/>
    </row>
    <row r="4" spans="1:9" ht="26" customHeight="1" x14ac:dyDescent="0.35">
      <c r="A4" s="19">
        <f>COUNTA('Bulk Upload Template'!A2:A11)</f>
        <v>10</v>
      </c>
      <c r="B4" s="20"/>
      <c r="C4" s="19">
        <f>SUM('Bulk Upload Template'!F2:F11)</f>
        <v>2070</v>
      </c>
      <c r="D4" s="20"/>
      <c r="E4" s="21">
        <f>SUMPRODUCT('Bulk Upload Template'!E2:E11, 'Bulk Upload Template'!F2:F11)</f>
        <v>14995000</v>
      </c>
      <c r="F4" s="20"/>
      <c r="G4" s="21">
        <f>SUMPRODUCT('Bulk Upload Template'!D2:D11, 'Bulk Upload Template'!F2:F11)</f>
        <v>20065000</v>
      </c>
      <c r="H4" s="23"/>
      <c r="I4" s="20"/>
    </row>
    <row r="6" spans="1:9" ht="26" customHeight="1" x14ac:dyDescent="0.35">
      <c r="A6" s="8" t="s">
        <v>61</v>
      </c>
      <c r="B6" s="8" t="s">
        <v>62</v>
      </c>
      <c r="C6" s="8" t="s">
        <v>63</v>
      </c>
      <c r="D6" s="8" t="s">
        <v>64</v>
      </c>
      <c r="E6" s="8" t="s">
        <v>65</v>
      </c>
      <c r="F6" s="8" t="s">
        <v>66</v>
      </c>
      <c r="G6" s="8" t="s">
        <v>67</v>
      </c>
      <c r="H6" s="8" t="s">
        <v>68</v>
      </c>
      <c r="I6" s="8" t="s">
        <v>69</v>
      </c>
    </row>
    <row r="7" spans="1:9" ht="20" customHeight="1" x14ac:dyDescent="0.35">
      <c r="A7" s="5" t="str">
        <f>'Bulk Upload Template'!A2</f>
        <v>Oxford Advanced Learner's Dictionary 10th Ed</v>
      </c>
      <c r="B7" s="6" t="str">
        <f>'Bulk Upload Template'!B2</f>
        <v>Educational Materials</v>
      </c>
      <c r="C7" s="7">
        <f>'Bulk Upload Template'!D2</f>
        <v>18500</v>
      </c>
      <c r="D7" s="7">
        <f>'Bulk Upload Template'!E2</f>
        <v>14200</v>
      </c>
      <c r="E7" s="7">
        <f t="shared" ref="E7:E16" si="0">C7-D7</f>
        <v>4300</v>
      </c>
      <c r="F7" s="9">
        <f t="shared" ref="F7:F16" si="1">E7/C7</f>
        <v>0.23243243243243245</v>
      </c>
      <c r="G7" s="7">
        <f>'Bulk Upload Template'!F2</f>
        <v>150</v>
      </c>
      <c r="H7" s="7">
        <f t="shared" ref="H7:H16" si="2">D7*G7</f>
        <v>2130000</v>
      </c>
      <c r="I7" s="7">
        <f t="shared" ref="I7:I16" si="3">C7*G7</f>
        <v>2775000</v>
      </c>
    </row>
    <row r="8" spans="1:9" ht="20" customHeight="1" x14ac:dyDescent="0.35">
      <c r="A8" s="2" t="str">
        <f>'Bulk Upload Template'!A3</f>
        <v>Cambridge IGCSE Mathematics Coursebook</v>
      </c>
      <c r="B8" s="3" t="str">
        <f>'Bulk Upload Template'!B3</f>
        <v>Educational Materials</v>
      </c>
      <c r="C8" s="4">
        <f>'Bulk Upload Template'!D3</f>
        <v>22000</v>
      </c>
      <c r="D8" s="4">
        <f>'Bulk Upload Template'!E3</f>
        <v>17000</v>
      </c>
      <c r="E8" s="4">
        <f t="shared" si="0"/>
        <v>5000</v>
      </c>
      <c r="F8" s="10">
        <f t="shared" si="1"/>
        <v>0.22727272727272727</v>
      </c>
      <c r="G8" s="4">
        <f>'Bulk Upload Template'!F3</f>
        <v>120</v>
      </c>
      <c r="H8" s="4">
        <f t="shared" si="2"/>
        <v>2040000</v>
      </c>
      <c r="I8" s="4">
        <f t="shared" si="3"/>
        <v>2640000</v>
      </c>
    </row>
    <row r="9" spans="1:9" ht="20" customHeight="1" x14ac:dyDescent="0.35">
      <c r="A9" s="5" t="str">
        <f>'Bulk Upload Template'!A4</f>
        <v>Casio FX-991EX ClassWiz Scientific Calculator</v>
      </c>
      <c r="B9" s="6" t="str">
        <f>'Bulk Upload Template'!B4</f>
        <v>Educational Materials</v>
      </c>
      <c r="C9" s="7">
        <f>'Bulk Upload Template'!D4</f>
        <v>28500</v>
      </c>
      <c r="D9" s="7">
        <f>'Bulk Upload Template'!E4</f>
        <v>22500</v>
      </c>
      <c r="E9" s="7">
        <f t="shared" si="0"/>
        <v>6000</v>
      </c>
      <c r="F9" s="9">
        <f t="shared" si="1"/>
        <v>0.21052631578947367</v>
      </c>
      <c r="G9" s="7">
        <f>'Bulk Upload Template'!F4</f>
        <v>200</v>
      </c>
      <c r="H9" s="7">
        <f t="shared" si="2"/>
        <v>4500000</v>
      </c>
      <c r="I9" s="7">
        <f t="shared" si="3"/>
        <v>5700000</v>
      </c>
    </row>
    <row r="10" spans="1:9" ht="20" customHeight="1" x14ac:dyDescent="0.35">
      <c r="A10" s="2" t="str">
        <f>'Bulk Upload Template'!A5</f>
        <v>Crayola Ultimate Crayon Collection 152 Count</v>
      </c>
      <c r="B10" s="3" t="str">
        <f>'Bulk Upload Template'!B5</f>
        <v>Educational Materials</v>
      </c>
      <c r="C10" s="4">
        <f>'Bulk Upload Template'!D5</f>
        <v>12500</v>
      </c>
      <c r="D10" s="4">
        <f>'Bulk Upload Template'!E5</f>
        <v>9200</v>
      </c>
      <c r="E10" s="4">
        <f t="shared" si="0"/>
        <v>3300</v>
      </c>
      <c r="F10" s="10">
        <f t="shared" si="1"/>
        <v>0.26400000000000001</v>
      </c>
      <c r="G10" s="4">
        <f>'Bulk Upload Template'!F5</f>
        <v>180</v>
      </c>
      <c r="H10" s="4">
        <f t="shared" si="2"/>
        <v>1656000</v>
      </c>
      <c r="I10" s="4">
        <f t="shared" si="3"/>
        <v>2250000</v>
      </c>
    </row>
    <row r="11" spans="1:9" ht="20" customHeight="1" x14ac:dyDescent="0.35">
      <c r="A11" s="5" t="str">
        <f>'Bulk Upload Template'!A6</f>
        <v>Staedtler Noris HB Pencils (Box of 12)</v>
      </c>
      <c r="B11" s="6" t="str">
        <f>'Bulk Upload Template'!B6</f>
        <v>Educational Materials</v>
      </c>
      <c r="C11" s="7">
        <f>'Bulk Upload Template'!D6</f>
        <v>3200</v>
      </c>
      <c r="D11" s="7">
        <f>'Bulk Upload Template'!E6</f>
        <v>2100</v>
      </c>
      <c r="E11" s="7">
        <f t="shared" si="0"/>
        <v>1100</v>
      </c>
      <c r="F11" s="9">
        <f t="shared" si="1"/>
        <v>0.34375</v>
      </c>
      <c r="G11" s="7">
        <f>'Bulk Upload Template'!F6</f>
        <v>300</v>
      </c>
      <c r="H11" s="7">
        <f t="shared" si="2"/>
        <v>630000</v>
      </c>
      <c r="I11" s="7">
        <f t="shared" si="3"/>
        <v>960000</v>
      </c>
    </row>
    <row r="12" spans="1:9" ht="20" customHeight="1" x14ac:dyDescent="0.35">
      <c r="A12" s="2" t="str">
        <f>'Bulk Upload Template'!A7</f>
        <v>Faber-Castell Classic Colour Pencils 36 Pack</v>
      </c>
      <c r="B12" s="3" t="str">
        <f>'Bulk Upload Template'!B7</f>
        <v>Educational Materials</v>
      </c>
      <c r="C12" s="4">
        <f>'Bulk Upload Template'!D7</f>
        <v>9800</v>
      </c>
      <c r="D12" s="4">
        <f>'Bulk Upload Template'!E7</f>
        <v>7200</v>
      </c>
      <c r="E12" s="4">
        <f t="shared" si="0"/>
        <v>2600</v>
      </c>
      <c r="F12" s="10">
        <f t="shared" si="1"/>
        <v>0.26530612244897961</v>
      </c>
      <c r="G12" s="4">
        <f>'Bulk Upload Template'!F7</f>
        <v>140</v>
      </c>
      <c r="H12" s="4">
        <f t="shared" si="2"/>
        <v>1008000</v>
      </c>
      <c r="I12" s="4">
        <f t="shared" si="3"/>
        <v>1372000</v>
      </c>
    </row>
    <row r="13" spans="1:9" ht="20" customHeight="1" x14ac:dyDescent="0.35">
      <c r="A13" s="5" t="str">
        <f>'Bulk Upload Template'!A8</f>
        <v>Maped Technic 8-Piece Math Geometry Set</v>
      </c>
      <c r="B13" s="6" t="str">
        <f>'Bulk Upload Template'!B8</f>
        <v>Educational Materials</v>
      </c>
      <c r="C13" s="7">
        <f>'Bulk Upload Template'!D8</f>
        <v>4500</v>
      </c>
      <c r="D13" s="7">
        <f>'Bulk Upload Template'!E8</f>
        <v>3100</v>
      </c>
      <c r="E13" s="7">
        <f t="shared" si="0"/>
        <v>1400</v>
      </c>
      <c r="F13" s="9">
        <f t="shared" si="1"/>
        <v>0.31111111111111112</v>
      </c>
      <c r="G13" s="7">
        <f>'Bulk Upload Template'!F8</f>
        <v>250</v>
      </c>
      <c r="H13" s="7">
        <f t="shared" si="2"/>
        <v>775000</v>
      </c>
      <c r="I13" s="7">
        <f t="shared" si="3"/>
        <v>1125000</v>
      </c>
    </row>
    <row r="14" spans="1:9" ht="20" customHeight="1" x14ac:dyDescent="0.35">
      <c r="A14" s="2" t="str">
        <f>'Bulk Upload Template'!A9</f>
        <v>Daler-Rowney A3 Spiral Artist Sketchbook 140gsm</v>
      </c>
      <c r="B14" s="3" t="str">
        <f>'Bulk Upload Template'!B9</f>
        <v>Educational Materials</v>
      </c>
      <c r="C14" s="4">
        <f>'Bulk Upload Template'!D9</f>
        <v>8500</v>
      </c>
      <c r="D14" s="4">
        <f>'Bulk Upload Template'!E9</f>
        <v>6000</v>
      </c>
      <c r="E14" s="4">
        <f t="shared" si="0"/>
        <v>2500</v>
      </c>
      <c r="F14" s="10">
        <f t="shared" si="1"/>
        <v>0.29411764705882354</v>
      </c>
      <c r="G14" s="4">
        <f>'Bulk Upload Template'!F9</f>
        <v>110</v>
      </c>
      <c r="H14" s="4">
        <f t="shared" si="2"/>
        <v>660000</v>
      </c>
      <c r="I14" s="4">
        <f t="shared" si="3"/>
        <v>935000</v>
      </c>
    </row>
    <row r="15" spans="1:9" ht="20" customHeight="1" x14ac:dyDescent="0.35">
      <c r="A15" s="5" t="str">
        <f>'Bulk Upload Template'!A10</f>
        <v>Schneider Slider Basic Ballpoint Pens Box of 10</v>
      </c>
      <c r="B15" s="6" t="str">
        <f>'Bulk Upload Template'!B10</f>
        <v>Educational Materials</v>
      </c>
      <c r="C15" s="7">
        <f>'Bulk Upload Template'!D10</f>
        <v>5400</v>
      </c>
      <c r="D15" s="7">
        <f>'Bulk Upload Template'!E10</f>
        <v>3800</v>
      </c>
      <c r="E15" s="7">
        <f t="shared" si="0"/>
        <v>1600</v>
      </c>
      <c r="F15" s="9">
        <f t="shared" si="1"/>
        <v>0.29629629629629628</v>
      </c>
      <c r="G15" s="7">
        <f>'Bulk Upload Template'!F10</f>
        <v>220</v>
      </c>
      <c r="H15" s="7">
        <f t="shared" si="2"/>
        <v>836000</v>
      </c>
      <c r="I15" s="7">
        <f t="shared" si="3"/>
        <v>1188000</v>
      </c>
    </row>
    <row r="16" spans="1:9" ht="20" customHeight="1" x14ac:dyDescent="0.35">
      <c r="A16" s="2" t="str">
        <f>'Bulk Upload Template'!A11</f>
        <v>Oxford Student Math Graph Notebook A4 200 Pages</v>
      </c>
      <c r="B16" s="3" t="str">
        <f>'Bulk Upload Template'!B11</f>
        <v>Educational Materials</v>
      </c>
      <c r="C16" s="4">
        <f>'Bulk Upload Template'!D11</f>
        <v>2800</v>
      </c>
      <c r="D16" s="4">
        <f>'Bulk Upload Template'!E11</f>
        <v>1900</v>
      </c>
      <c r="E16" s="4">
        <f t="shared" si="0"/>
        <v>900</v>
      </c>
      <c r="F16" s="10">
        <f t="shared" si="1"/>
        <v>0.32142857142857145</v>
      </c>
      <c r="G16" s="4">
        <f>'Bulk Upload Template'!F11</f>
        <v>400</v>
      </c>
      <c r="H16" s="4">
        <f t="shared" si="2"/>
        <v>760000</v>
      </c>
      <c r="I16" s="4">
        <f t="shared" si="3"/>
        <v>1120000</v>
      </c>
    </row>
    <row r="17" spans="1:9" ht="24" customHeight="1" x14ac:dyDescent="0.45">
      <c r="A17" s="11" t="s">
        <v>70</v>
      </c>
      <c r="B17" s="12" t="s">
        <v>71</v>
      </c>
      <c r="C17" s="13">
        <f>AVERAGE(C7:C16)</f>
        <v>11570</v>
      </c>
      <c r="D17" s="13">
        <f>AVERAGE(D7:D16)</f>
        <v>8700</v>
      </c>
      <c r="E17" s="13">
        <f>AVERAGE(E7:E16)</f>
        <v>2870</v>
      </c>
      <c r="F17" s="14">
        <f>AVERAGE(F7:F16)</f>
        <v>0.2766241223838416</v>
      </c>
      <c r="G17" s="13">
        <f>SUM(G7:G16)</f>
        <v>2070</v>
      </c>
      <c r="H17" s="13">
        <f>SUM(H7:H16)</f>
        <v>14995000</v>
      </c>
      <c r="I17" s="13">
        <f>SUM(I7:I16)</f>
        <v>20065000</v>
      </c>
    </row>
  </sheetData>
  <mergeCells count="9">
    <mergeCell ref="A4:B4"/>
    <mergeCell ref="E4:F4"/>
    <mergeCell ref="A1:I1"/>
    <mergeCell ref="G4:I4"/>
    <mergeCell ref="G3:I3"/>
    <mergeCell ref="C3:D3"/>
    <mergeCell ref="A3:B3"/>
    <mergeCell ref="E3:F3"/>
    <mergeCell ref="C4:D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5" x14ac:dyDescent="0.35"/>
  <cols>
    <col min="1" max="1" width="50" customWidth="1"/>
    <col min="2" max="2" width="26" customWidth="1"/>
    <col min="3" max="3" width="74" customWidth="1"/>
    <col min="4" max="4" width="63" customWidth="1"/>
    <col min="5" max="5" width="50" customWidth="1"/>
    <col min="6" max="6" width="14" customWidth="1"/>
  </cols>
  <sheetData>
    <row r="1" spans="1:6" ht="36" customHeight="1" x14ac:dyDescent="0.35">
      <c r="A1" s="22" t="s">
        <v>72</v>
      </c>
      <c r="B1" s="23"/>
      <c r="C1" s="23"/>
      <c r="D1" s="23"/>
      <c r="E1" s="23"/>
      <c r="F1" s="23"/>
    </row>
    <row r="3" spans="1:6" ht="26" customHeight="1" x14ac:dyDescent="0.35">
      <c r="A3" s="15" t="s">
        <v>73</v>
      </c>
      <c r="B3" s="15" t="s">
        <v>74</v>
      </c>
      <c r="C3" s="15" t="s">
        <v>75</v>
      </c>
      <c r="D3" s="15" t="s">
        <v>76</v>
      </c>
      <c r="E3" s="15" t="s">
        <v>77</v>
      </c>
      <c r="F3" s="15" t="s">
        <v>78</v>
      </c>
    </row>
    <row r="4" spans="1:6" ht="22" customHeight="1" x14ac:dyDescent="0.35">
      <c r="A4" s="16" t="s">
        <v>79</v>
      </c>
      <c r="B4" s="3" t="s">
        <v>80</v>
      </c>
      <c r="C4" s="2" t="s">
        <v>81</v>
      </c>
      <c r="D4" s="2" t="s">
        <v>82</v>
      </c>
      <c r="E4" s="3" t="s">
        <v>83</v>
      </c>
      <c r="F4" s="17" t="s">
        <v>84</v>
      </c>
    </row>
    <row r="5" spans="1:6" ht="22" customHeight="1" x14ac:dyDescent="0.35">
      <c r="A5" s="18" t="s">
        <v>85</v>
      </c>
      <c r="B5" s="6" t="s">
        <v>86</v>
      </c>
      <c r="C5" s="5" t="s">
        <v>87</v>
      </c>
      <c r="D5" s="5" t="s">
        <v>88</v>
      </c>
      <c r="E5" s="6" t="s">
        <v>89</v>
      </c>
      <c r="F5" s="17" t="s">
        <v>84</v>
      </c>
    </row>
    <row r="6" spans="1:6" ht="22" customHeight="1" x14ac:dyDescent="0.35">
      <c r="A6" s="16" t="s">
        <v>90</v>
      </c>
      <c r="B6" s="3" t="s">
        <v>91</v>
      </c>
      <c r="C6" s="2" t="s">
        <v>92</v>
      </c>
      <c r="D6" s="2" t="s">
        <v>93</v>
      </c>
      <c r="E6" s="3" t="s">
        <v>94</v>
      </c>
      <c r="F6" s="17" t="s">
        <v>84</v>
      </c>
    </row>
    <row r="7" spans="1:6" ht="22" customHeight="1" x14ac:dyDescent="0.35">
      <c r="A7" s="18" t="s">
        <v>95</v>
      </c>
      <c r="B7" s="6" t="s">
        <v>96</v>
      </c>
      <c r="C7" s="5" t="s">
        <v>97</v>
      </c>
      <c r="D7" s="5" t="s">
        <v>98</v>
      </c>
      <c r="E7" s="6" t="s">
        <v>99</v>
      </c>
      <c r="F7" s="17" t="s">
        <v>84</v>
      </c>
    </row>
    <row r="8" spans="1:6" ht="22" customHeight="1" x14ac:dyDescent="0.35">
      <c r="A8" s="16" t="s">
        <v>100</v>
      </c>
      <c r="B8" s="3" t="s">
        <v>101</v>
      </c>
      <c r="C8" s="2" t="s">
        <v>102</v>
      </c>
      <c r="D8" s="2" t="s">
        <v>103</v>
      </c>
      <c r="E8" s="3" t="s">
        <v>104</v>
      </c>
      <c r="F8" s="17" t="s">
        <v>84</v>
      </c>
    </row>
    <row r="9" spans="1:6" ht="22" customHeight="1" x14ac:dyDescent="0.35">
      <c r="A9" s="18" t="s">
        <v>105</v>
      </c>
      <c r="B9" s="6" t="s">
        <v>106</v>
      </c>
      <c r="C9" s="5" t="s">
        <v>107</v>
      </c>
      <c r="D9" s="5" t="s">
        <v>108</v>
      </c>
      <c r="E9" s="6" t="s">
        <v>109</v>
      </c>
      <c r="F9" s="17" t="s">
        <v>84</v>
      </c>
    </row>
    <row r="10" spans="1:6" ht="22" customHeight="1" x14ac:dyDescent="0.35">
      <c r="A10" s="16" t="s">
        <v>110</v>
      </c>
      <c r="B10" s="3" t="s">
        <v>111</v>
      </c>
      <c r="C10" s="2" t="s">
        <v>112</v>
      </c>
      <c r="D10" s="2" t="s">
        <v>113</v>
      </c>
      <c r="E10" s="3" t="s">
        <v>114</v>
      </c>
      <c r="F10" s="17" t="s">
        <v>84</v>
      </c>
    </row>
    <row r="11" spans="1:6" ht="22" customHeight="1" x14ac:dyDescent="0.35">
      <c r="A11" s="18" t="s">
        <v>115</v>
      </c>
      <c r="B11" s="6" t="s">
        <v>116</v>
      </c>
      <c r="C11" s="5" t="s">
        <v>117</v>
      </c>
      <c r="D11" s="5" t="s">
        <v>118</v>
      </c>
      <c r="E11" s="6" t="s">
        <v>119</v>
      </c>
      <c r="F11" s="17" t="s">
        <v>84</v>
      </c>
    </row>
    <row r="12" spans="1:6" ht="22" customHeight="1" x14ac:dyDescent="0.35">
      <c r="A12" s="16" t="s">
        <v>120</v>
      </c>
      <c r="B12" s="3" t="s">
        <v>121</v>
      </c>
      <c r="C12" s="2" t="s">
        <v>122</v>
      </c>
      <c r="D12" s="2" t="s">
        <v>123</v>
      </c>
      <c r="E12" s="3" t="s">
        <v>124</v>
      </c>
      <c r="F12" s="17" t="s">
        <v>84</v>
      </c>
    </row>
    <row r="13" spans="1:6" ht="22" customHeight="1" x14ac:dyDescent="0.35">
      <c r="A13" s="18" t="s">
        <v>125</v>
      </c>
      <c r="B13" s="6" t="s">
        <v>126</v>
      </c>
      <c r="C13" s="5" t="s">
        <v>127</v>
      </c>
      <c r="D13" s="5" t="s">
        <v>128</v>
      </c>
      <c r="E13" s="6" t="s">
        <v>129</v>
      </c>
      <c r="F13" s="17" t="s">
        <v>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 Template</vt:lpstr>
      <vt:lpstr>Dashboard &amp; Summary</vt:lpstr>
      <vt:lpstr>QA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godok84liv@yahoo.com</cp:lastModifiedBy>
  <dcterms:created xsi:type="dcterms:W3CDTF">2026-08-06T11:39:18Z</dcterms:created>
  <dcterms:modified xsi:type="dcterms:W3CDTF">2026-08-06T11:55:43Z</dcterms:modified>
</cp:coreProperties>
</file>