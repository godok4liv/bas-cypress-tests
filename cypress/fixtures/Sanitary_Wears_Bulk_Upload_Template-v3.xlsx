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21b73a795744a6b/Desktop/"/>
    </mc:Choice>
  </mc:AlternateContent>
  <xr:revisionPtr revIDLastSave="0" documentId="8_{AA53B29E-7310-41ED-9AD8-32227D8CB59F}" xr6:coauthVersionLast="47" xr6:coauthVersionMax="47" xr10:uidLastSave="{00000000-0000-0000-0000-000000000000}"/>
  <bookViews>
    <workbookView xWindow="2580" yWindow="2580" windowWidth="14400" windowHeight="7270" xr2:uid="{00000000-000D-0000-FFFF-FFFF00000000}"/>
  </bookViews>
  <sheets>
    <sheet name="Bulk Upload Template" sheetId="1" r:id="rId1"/>
    <sheet name="Dashboard &amp; Summary" sheetId="2" r:id="rId2"/>
    <sheet name="QA Test Matrix" sheetId="3" r:id="rId3"/>
  </sheets>
  <calcPr calcId="181029"/>
</workbook>
</file>

<file path=xl/calcChain.xml><?xml version="1.0" encoding="utf-8"?>
<calcChain xmlns="http://schemas.openxmlformats.org/spreadsheetml/2006/main">
  <c r="G11" i="2" l="1"/>
  <c r="D11" i="2"/>
  <c r="H11" i="2" s="1"/>
  <c r="C11" i="2"/>
  <c r="I11" i="2" s="1"/>
  <c r="B11" i="2"/>
  <c r="A11" i="2"/>
  <c r="G10" i="2"/>
  <c r="D10" i="2"/>
  <c r="H10" i="2" s="1"/>
  <c r="C10" i="2"/>
  <c r="I10" i="2" s="1"/>
  <c r="B10" i="2"/>
  <c r="A10" i="2"/>
  <c r="G9" i="2"/>
  <c r="D9" i="2"/>
  <c r="H9" i="2" s="1"/>
  <c r="C9" i="2"/>
  <c r="I9" i="2" s="1"/>
  <c r="B9" i="2"/>
  <c r="A9" i="2"/>
  <c r="I8" i="2"/>
  <c r="G8" i="2"/>
  <c r="E8" i="2"/>
  <c r="F8" i="2" s="1"/>
  <c r="D8" i="2"/>
  <c r="H8" i="2" s="1"/>
  <c r="C8" i="2"/>
  <c r="B8" i="2"/>
  <c r="A8" i="2"/>
  <c r="G7" i="2"/>
  <c r="G12" i="2" s="1"/>
  <c r="D7" i="2"/>
  <c r="H7" i="2" s="1"/>
  <c r="H12" i="2" s="1"/>
  <c r="C7" i="2"/>
  <c r="C12" i="2" s="1"/>
  <c r="B7" i="2"/>
  <c r="A7" i="2"/>
  <c r="G4" i="2"/>
  <c r="E4" i="2"/>
  <c r="C4" i="2"/>
  <c r="A4" i="2"/>
  <c r="E7" i="2" l="1"/>
  <c r="I7" i="2"/>
  <c r="I12" i="2" s="1"/>
  <c r="E11" i="2"/>
  <c r="F11" i="2" s="1"/>
  <c r="E9" i="2"/>
  <c r="F9" i="2" s="1"/>
  <c r="D12" i="2"/>
  <c r="E10" i="2"/>
  <c r="F10" i="2" s="1"/>
  <c r="E12" i="2" l="1"/>
  <c r="F7" i="2"/>
  <c r="F12" i="2" s="1"/>
</calcChain>
</file>

<file path=xl/sharedStrings.xml><?xml version="1.0" encoding="utf-8"?>
<sst xmlns="http://schemas.openxmlformats.org/spreadsheetml/2006/main" count="127" uniqueCount="109">
  <si>
    <t>Name*</t>
  </si>
  <si>
    <t>Category*</t>
  </si>
  <si>
    <t>BranchName</t>
  </si>
  <si>
    <t>SellingPrice*</t>
  </si>
  <si>
    <t>CostPrice*</t>
  </si>
  <si>
    <t>Quantity*</t>
  </si>
  <si>
    <t>Vendor</t>
  </si>
  <si>
    <t>MinimumStockThreshold</t>
  </si>
  <si>
    <t>BulkSellingPrice</t>
  </si>
  <si>
    <t>BulkCostPrice</t>
  </si>
  <si>
    <t>BulkQuantity</t>
  </si>
  <si>
    <t>UnitsInBulk</t>
  </si>
  <si>
    <t>ExpiryDate (yyyy-MM-dd)</t>
  </si>
  <si>
    <t>SerialNumber</t>
  </si>
  <si>
    <t>Always Ultra Long Wings Sanitary Pads (Pack of 16)</t>
  </si>
  <si>
    <t>Sanitary Wears</t>
  </si>
  <si>
    <t>GodokPharm CAL</t>
  </si>
  <si>
    <t>Procter &amp; Gamble</t>
  </si>
  <si>
    <t>2029-06-30</t>
  </si>
  <si>
    <t>SAN-PG-001</t>
  </si>
  <si>
    <t>Dettol Antiseptic Disinfectant Liquid 500ml</t>
  </si>
  <si>
    <t>Reckitt Benckiser</t>
  </si>
  <si>
    <t>2029-10-31</t>
  </si>
  <si>
    <t>SAN-RB-002</t>
  </si>
  <si>
    <t>Kotex Maxi Super Pads with Wings (Pack of 16)</t>
  </si>
  <si>
    <t>Kimberly-Clark</t>
  </si>
  <si>
    <t>2028-11-30</t>
  </si>
  <si>
    <t>SAN-KMC-003</t>
  </si>
  <si>
    <t>Carefree Cotton Feel Normal Pantyliners (30 Pack)</t>
  </si>
  <si>
    <t>Johnson &amp; Johnson</t>
  </si>
  <si>
    <t>2029-05-31</t>
  </si>
  <si>
    <t>SAN-JNJ-004</t>
  </si>
  <si>
    <t>Huggies Natural Care Baby Wipes (Pack of 56)</t>
  </si>
  <si>
    <t>2028-08-31</t>
  </si>
  <si>
    <t>SAN-KMC-005</t>
  </si>
  <si>
    <t>QA BULK PRODUCT UPLOAD - SANITARY WEARS DASHBOARD (5 PRODUCTS)</t>
  </si>
  <si>
    <t>TOTAL PRODUCTS</t>
  </si>
  <si>
    <t>TOTAL UNIT INVENTORY</t>
  </si>
  <si>
    <t>TOTAL INVENTORY INVESTMENT</t>
  </si>
  <si>
    <t>EXPECTED REVENUE</t>
  </si>
  <si>
    <t>Product Name</t>
  </si>
  <si>
    <t>Category</t>
  </si>
  <si>
    <t>Selling Price (₦)</t>
  </si>
  <si>
    <t>Cost Price (₦)</t>
  </si>
  <si>
    <t>Margin per Unit (₦)</t>
  </si>
  <si>
    <t>Profit Margin %</t>
  </si>
  <si>
    <t>Stock Qty</t>
  </si>
  <si>
    <t>Total Cost Value (₦)</t>
  </si>
  <si>
    <t>Total Sales Value (₦)</t>
  </si>
  <si>
    <t>TOTAL / AVERAGE SUMMARY</t>
  </si>
  <si>
    <t>5 Products</t>
  </si>
  <si>
    <t>QA BULK UPLOAD TEST MATRIX &amp; VALIDATION RESULTS (SANITY WEARS)</t>
  </si>
  <si>
    <t>Test ID</t>
  </si>
  <si>
    <t>Validation Scope</t>
  </si>
  <si>
    <t>Scenario Description</t>
  </si>
  <si>
    <t>Expected Behavior</t>
  </si>
  <si>
    <t>Validation Rule</t>
  </si>
  <si>
    <t>Status</t>
  </si>
  <si>
    <t>TC-SAN-001</t>
  </si>
  <si>
    <t>Category Rule</t>
  </si>
  <si>
    <t>Validate all 5 products are assigned to 'Sanitary Wears'</t>
  </si>
  <si>
    <t>Import successful with category set to Sanitary Wears</t>
  </si>
  <si>
    <t>Category* == 'Sanitary Wears'</t>
  </si>
  <si>
    <t>PASSED</t>
  </si>
  <si>
    <t>TC-SAN-002</t>
  </si>
  <si>
    <t>Expiry Date Future Rule</t>
  </si>
  <si>
    <t>Verify ExpiryDate is strictly in the future (&gt; current date)</t>
  </si>
  <si>
    <t>All 5 products have valid future dates (2028 - 2029)</t>
  </si>
  <si>
    <t>ExpiryDate &gt; Current Date</t>
  </si>
  <si>
    <t>TC-SAN-003</t>
  </si>
  <si>
    <t>Mandatory Fields Check</t>
  </si>
  <si>
    <t>Verify mandatory fields (* marked) are populated</t>
  </si>
  <si>
    <t>100% compliance with zero null value errors on upload</t>
  </si>
  <si>
    <t>NOT NULL(Name*, Category*, Price*, Qty*)</t>
  </si>
  <si>
    <t>TC-SAN-004</t>
  </si>
  <si>
    <t>Numeric &amp; Price Format</t>
  </si>
  <si>
    <t>Ensure SellingPrice*, CostPrice*, Quantity* are valid integers</t>
  </si>
  <si>
    <t>Correctly parsed as numbers without data type mismatch</t>
  </si>
  <si>
    <t>ISNUMERIC(Price, Qty)</t>
  </si>
  <si>
    <t>TC-SAN-005</t>
  </si>
  <si>
    <t>Margin Integrity Check</t>
  </si>
  <si>
    <t>Verify SellingPrice &gt; CostPrice across all 5 products</t>
  </si>
  <si>
    <t>Positive gross margin confirmed across all sanitary items</t>
  </si>
  <si>
    <t>SellingPrice* &gt; CostPrice*</t>
  </si>
  <si>
    <t>TC-SAN-006</t>
  </si>
  <si>
    <t>SKU Uniqueness</t>
  </si>
  <si>
    <t>Check SerialNumber (SAN-PG-001 to SAN-KMC-005) uniqueness</t>
  </si>
  <si>
    <t>All 5 serial numbers registered as unique SKUs</t>
  </si>
  <si>
    <t>COUNT(SerialNumber) == 5</t>
  </si>
  <si>
    <t>TC-SAN-007</t>
  </si>
  <si>
    <t>Bulk Pricing Rule</t>
  </si>
  <si>
    <t>Validate bulk pricing offers discount relative to single unit</t>
  </si>
  <si>
    <t>Bulk unit price is lower than single unit selling price</t>
  </si>
  <si>
    <t>BulkSellingPrice &lt; (SellingPrice * UnitsInBulk)</t>
  </si>
  <si>
    <t>TC-SAN-008</t>
  </si>
  <si>
    <t>Reorder Level Check</t>
  </si>
  <si>
    <t>Verify MinimumStockThreshold field is correctly defined</t>
  </si>
  <si>
    <t>Reorder threshold properly set for stock alert triggers</t>
  </si>
  <si>
    <t>MinimumStockThreshold &gt;= 1</t>
  </si>
  <si>
    <t>TC-SAN-009</t>
  </si>
  <si>
    <t>Vendor Association</t>
  </si>
  <si>
    <t>Ensure Vendor strings map to approved healthcare/personal care vendors</t>
  </si>
  <si>
    <t>Vendors (Procter &amp; Gamble, Reckitt Benckiser, Kimberly-Clark, J&amp;J) cleanly imported</t>
  </si>
  <si>
    <t>Vendor IS NOT NULL</t>
  </si>
  <si>
    <t>TC-SAN-010</t>
  </si>
  <si>
    <t>Template Schema Match</t>
  </si>
  <si>
    <t>Ensure file columns match standard system template header exact strings</t>
  </si>
  <si>
    <t>Column mapping verified with 100% schema alignment</t>
  </si>
  <si>
    <t>Header String Match ==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</si>
</sst>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₦#,##0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5"/>
      <color rgb="FFFFFFFF"/>
      <name val="Segoe UI"/>
    </font>
    <font>
      <b/>
      <sz val="9"/>
      <color rgb="FF595959"/>
      <name val="Segoe UI"/>
    </font>
    <font>
      <b/>
      <sz val="13"/>
      <color rgb="FF1F4E79"/>
      <name val="Segoe UI"/>
    </font>
    <font>
      <b/>
      <sz val="10"/>
      <color rgb="FFFFFFFF"/>
      <name val="Segoe UI"/>
    </font>
    <font>
      <b/>
      <sz val="10"/>
      <color rgb="FF1F4E79"/>
      <name val="Segoe UI"/>
    </font>
    <font>
      <b/>
      <sz val="9"/>
      <color rgb="FF1F4E79"/>
      <name val="Segoe UI"/>
    </font>
    <font>
      <b/>
      <sz val="9"/>
      <color rgb="FF375623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 style="thin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6" fillId="4" borderId="0" xfId="0" applyFont="1" applyFill="1" applyAlignment="1">
      <alignment horizontal="center" vertical="center" wrapText="1"/>
    </xf>
    <xf numFmtId="165" fontId="2" fillId="0" borderId="1" xfId="0" applyNumberFormat="1" applyFont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7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3" fontId="7" fillId="5" borderId="3" xfId="0" applyNumberFormat="1" applyFont="1" applyFill="1" applyBorder="1"/>
    <xf numFmtId="165" fontId="7" fillId="5" borderId="3" xfId="0" applyNumberFormat="1" applyFont="1" applyFill="1" applyBorder="1"/>
    <xf numFmtId="0" fontId="6" fillId="4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0" fontId="0" fillId="0" borderId="2" xfId="0" applyBorder="1"/>
    <xf numFmtId="164" fontId="5" fillId="3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Inventory Valuation Breakdown by Product (₦)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&amp; Summary'!$I$6</c:f>
              <c:strCache>
                <c:ptCount val="1"/>
                <c:pt idx="0">
                  <c:v>Total Sales Value (₦)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'Dashboard &amp; Summary'!$A$7:$A$11</c:f>
              <c:strCache>
                <c:ptCount val="5"/>
                <c:pt idx="0">
                  <c:v>Always Ultra Long Wings Sanitary Pads (Pack of 16)</c:v>
                </c:pt>
                <c:pt idx="1">
                  <c:v>Dettol Antiseptic Disinfectant Liquid 500ml</c:v>
                </c:pt>
                <c:pt idx="2">
                  <c:v>Kotex Maxi Super Pads with Wings (Pack of 16)</c:v>
                </c:pt>
                <c:pt idx="3">
                  <c:v>Carefree Cotton Feel Normal Pantyliners (30 Pack)</c:v>
                </c:pt>
                <c:pt idx="4">
                  <c:v>Huggies Natural Care Baby Wipes (Pack of 56)</c:v>
                </c:pt>
              </c:strCache>
            </c:strRef>
          </c:cat>
          <c:val>
            <c:numRef>
              <c:f>'Dashboard &amp; Summary'!$I$7:$I$11</c:f>
              <c:numCache>
                <c:formatCode>#,##0</c:formatCode>
                <c:ptCount val="5"/>
                <c:pt idx="0">
                  <c:v>625000</c:v>
                </c:pt>
                <c:pt idx="1">
                  <c:v>684000</c:v>
                </c:pt>
                <c:pt idx="2">
                  <c:v>440000</c:v>
                </c:pt>
                <c:pt idx="3">
                  <c:v>285000</c:v>
                </c:pt>
                <c:pt idx="4">
                  <c:v>372000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5-4C92-A4BC-6FF624B88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Total Sales Value (₦)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3" width="18" customWidth="1"/>
    <col min="4" max="4" width="17" customWidth="1"/>
    <col min="5" max="5" width="14" customWidth="1"/>
    <col min="6" max="6" width="13" customWidth="1"/>
    <col min="7" max="7" width="21" customWidth="1"/>
    <col min="8" max="8" width="25" customWidth="1"/>
    <col min="9" max="9" width="20" customWidth="1"/>
    <col min="10" max="10" width="17" customWidth="1"/>
    <col min="11" max="11" width="16" customWidth="1"/>
    <col min="12" max="12" width="15" customWidth="1"/>
    <col min="13" max="13" width="27" customWidth="1"/>
    <col min="14" max="14" width="16" customWidth="1"/>
  </cols>
  <sheetData>
    <row r="1" spans="1:14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0" customHeight="1" x14ac:dyDescent="0.35">
      <c r="A2" s="2" t="s">
        <v>14</v>
      </c>
      <c r="B2" s="3" t="s">
        <v>15</v>
      </c>
      <c r="C2" s="2" t="s">
        <v>16</v>
      </c>
      <c r="D2" s="4">
        <v>2500</v>
      </c>
      <c r="E2" s="4">
        <v>1800</v>
      </c>
      <c r="F2" s="4">
        <v>250</v>
      </c>
      <c r="G2" s="2" t="s">
        <v>17</v>
      </c>
      <c r="H2" s="4">
        <v>20</v>
      </c>
      <c r="I2" s="4">
        <v>23000</v>
      </c>
      <c r="J2" s="4">
        <v>17000</v>
      </c>
      <c r="K2" s="4">
        <v>10</v>
      </c>
      <c r="L2" s="4">
        <v>10</v>
      </c>
      <c r="M2" s="3" t="s">
        <v>18</v>
      </c>
      <c r="N2" s="3" t="s">
        <v>19</v>
      </c>
    </row>
    <row r="3" spans="1:14" ht="20" customHeight="1" x14ac:dyDescent="0.35">
      <c r="A3" s="5" t="s">
        <v>20</v>
      </c>
      <c r="B3" s="6" t="s">
        <v>15</v>
      </c>
      <c r="C3" s="5" t="s">
        <v>16</v>
      </c>
      <c r="D3" s="7">
        <v>3800</v>
      </c>
      <c r="E3" s="7">
        <v>2900</v>
      </c>
      <c r="F3" s="7">
        <v>180</v>
      </c>
      <c r="G3" s="5" t="s">
        <v>21</v>
      </c>
      <c r="H3" s="7">
        <v>15</v>
      </c>
      <c r="I3" s="7">
        <v>35000</v>
      </c>
      <c r="J3" s="7">
        <v>27000</v>
      </c>
      <c r="K3" s="7">
        <v>10</v>
      </c>
      <c r="L3" s="7">
        <v>10</v>
      </c>
      <c r="M3" s="6" t="s">
        <v>22</v>
      </c>
      <c r="N3" s="6" t="s">
        <v>23</v>
      </c>
    </row>
    <row r="4" spans="1:14" ht="20" customHeight="1" x14ac:dyDescent="0.35">
      <c r="A4" s="2" t="s">
        <v>24</v>
      </c>
      <c r="B4" s="3" t="s">
        <v>15</v>
      </c>
      <c r="C4" s="2" t="s">
        <v>16</v>
      </c>
      <c r="D4" s="4">
        <v>2200</v>
      </c>
      <c r="E4" s="4">
        <v>1600</v>
      </c>
      <c r="F4" s="4">
        <v>200</v>
      </c>
      <c r="G4" s="2" t="s">
        <v>25</v>
      </c>
      <c r="H4" s="4">
        <v>15</v>
      </c>
      <c r="I4" s="4">
        <v>20000</v>
      </c>
      <c r="J4" s="4">
        <v>15000</v>
      </c>
      <c r="K4" s="4">
        <v>10</v>
      </c>
      <c r="L4" s="4">
        <v>10</v>
      </c>
      <c r="M4" s="3" t="s">
        <v>26</v>
      </c>
      <c r="N4" s="3" t="s">
        <v>27</v>
      </c>
    </row>
    <row r="5" spans="1:14" ht="20" customHeight="1" x14ac:dyDescent="0.35">
      <c r="A5" s="5" t="s">
        <v>28</v>
      </c>
      <c r="B5" s="6" t="s">
        <v>15</v>
      </c>
      <c r="C5" s="5" t="s">
        <v>16</v>
      </c>
      <c r="D5" s="7">
        <v>1900</v>
      </c>
      <c r="E5" s="7">
        <v>1350</v>
      </c>
      <c r="F5" s="7">
        <v>150</v>
      </c>
      <c r="G5" s="5" t="s">
        <v>29</v>
      </c>
      <c r="H5" s="7">
        <v>12</v>
      </c>
      <c r="I5" s="7">
        <v>17500</v>
      </c>
      <c r="J5" s="7">
        <v>12500</v>
      </c>
      <c r="K5" s="7">
        <v>10</v>
      </c>
      <c r="L5" s="7">
        <v>10</v>
      </c>
      <c r="M5" s="6" t="s">
        <v>30</v>
      </c>
      <c r="N5" s="6" t="s">
        <v>31</v>
      </c>
    </row>
    <row r="6" spans="1:14" ht="20" customHeight="1" x14ac:dyDescent="0.35">
      <c r="A6" s="2" t="s">
        <v>32</v>
      </c>
      <c r="B6" s="3" t="s">
        <v>15</v>
      </c>
      <c r="C6" s="2" t="s">
        <v>16</v>
      </c>
      <c r="D6" s="4">
        <v>3100</v>
      </c>
      <c r="E6" s="4">
        <v>2200</v>
      </c>
      <c r="F6" s="4">
        <v>120</v>
      </c>
      <c r="G6" s="2" t="s">
        <v>25</v>
      </c>
      <c r="H6" s="4">
        <v>10</v>
      </c>
      <c r="I6" s="4">
        <v>29000</v>
      </c>
      <c r="J6" s="4">
        <v>20500</v>
      </c>
      <c r="K6" s="4">
        <v>10</v>
      </c>
      <c r="L6" s="4">
        <v>10</v>
      </c>
      <c r="M6" s="3" t="s">
        <v>33</v>
      </c>
      <c r="N6" s="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/>
  </sheetViews>
  <sheetFormatPr defaultRowHeight="14.5" x14ac:dyDescent="0.35"/>
  <cols>
    <col min="1" max="1" width="65" customWidth="1"/>
    <col min="2" max="2" width="29" customWidth="1"/>
    <col min="3" max="3" width="37" customWidth="1"/>
    <col min="4" max="4" width="29" customWidth="1"/>
    <col min="5" max="5" width="74" customWidth="1"/>
    <col min="6" max="6" width="19" customWidth="1"/>
    <col min="7" max="7" width="74" customWidth="1"/>
    <col min="8" max="8" width="23" customWidth="1"/>
    <col min="9" max="9" width="24" customWidth="1"/>
  </cols>
  <sheetData>
    <row r="1" spans="1:9" ht="36" customHeight="1" x14ac:dyDescent="0.35">
      <c r="A1" s="22" t="s">
        <v>35</v>
      </c>
      <c r="B1" s="23"/>
      <c r="C1" s="23"/>
      <c r="D1" s="23"/>
      <c r="E1" s="23"/>
      <c r="F1" s="23"/>
      <c r="G1" s="23"/>
      <c r="H1" s="23"/>
      <c r="I1" s="23"/>
    </row>
    <row r="3" spans="1:9" ht="18" customHeight="1" x14ac:dyDescent="0.35">
      <c r="A3" s="24" t="s">
        <v>36</v>
      </c>
      <c r="B3" s="20"/>
      <c r="C3" s="24" t="s">
        <v>37</v>
      </c>
      <c r="D3" s="20"/>
      <c r="E3" s="24" t="s">
        <v>38</v>
      </c>
      <c r="F3" s="20"/>
      <c r="G3" s="24" t="s">
        <v>39</v>
      </c>
      <c r="H3" s="23"/>
      <c r="I3" s="20"/>
    </row>
    <row r="4" spans="1:9" ht="26" customHeight="1" x14ac:dyDescent="0.35">
      <c r="A4" s="19">
        <f>COUNTA('Bulk Upload Template'!A2:A6)</f>
        <v>5</v>
      </c>
      <c r="B4" s="20"/>
      <c r="C4" s="19">
        <f>SUM('Bulk Upload Template'!F2:F6)</f>
        <v>900</v>
      </c>
      <c r="D4" s="20"/>
      <c r="E4" s="21">
        <f>SUMPRODUCT('Bulk Upload Template'!E2:E6, 'Bulk Upload Template'!F2:F6)</f>
        <v>1758500</v>
      </c>
      <c r="F4" s="20"/>
      <c r="G4" s="21">
        <f>SUMPRODUCT('Bulk Upload Template'!D2:D6, 'Bulk Upload Template'!F2:F6)</f>
        <v>2406000</v>
      </c>
      <c r="H4" s="23"/>
      <c r="I4" s="20"/>
    </row>
    <row r="6" spans="1:9" ht="26" customHeight="1" x14ac:dyDescent="0.35">
      <c r="A6" s="8" t="s">
        <v>40</v>
      </c>
      <c r="B6" s="8" t="s">
        <v>41</v>
      </c>
      <c r="C6" s="8" t="s">
        <v>42</v>
      </c>
      <c r="D6" s="8" t="s">
        <v>43</v>
      </c>
      <c r="E6" s="8" t="s">
        <v>44</v>
      </c>
      <c r="F6" s="8" t="s">
        <v>45</v>
      </c>
      <c r="G6" s="8" t="s">
        <v>46</v>
      </c>
      <c r="H6" s="8" t="s">
        <v>47</v>
      </c>
      <c r="I6" s="8" t="s">
        <v>48</v>
      </c>
    </row>
    <row r="7" spans="1:9" ht="20" customHeight="1" x14ac:dyDescent="0.35">
      <c r="A7" s="5" t="str">
        <f>'Bulk Upload Template'!A2</f>
        <v>Always Ultra Long Wings Sanitary Pads (Pack of 16)</v>
      </c>
      <c r="B7" s="6" t="str">
        <f>'Bulk Upload Template'!B2</f>
        <v>Sanitary Wears</v>
      </c>
      <c r="C7" s="7">
        <f>'Bulk Upload Template'!D2</f>
        <v>2500</v>
      </c>
      <c r="D7" s="7">
        <f>'Bulk Upload Template'!E2</f>
        <v>1800</v>
      </c>
      <c r="E7" s="7">
        <f>C7-D7</f>
        <v>700</v>
      </c>
      <c r="F7" s="9">
        <f>E7/C7</f>
        <v>0.28000000000000003</v>
      </c>
      <c r="G7" s="7">
        <f>'Bulk Upload Template'!F2</f>
        <v>250</v>
      </c>
      <c r="H7" s="7">
        <f>D7*G7</f>
        <v>450000</v>
      </c>
      <c r="I7" s="7">
        <f>C7*G7</f>
        <v>625000</v>
      </c>
    </row>
    <row r="8" spans="1:9" ht="20" customHeight="1" x14ac:dyDescent="0.35">
      <c r="A8" s="2" t="str">
        <f>'Bulk Upload Template'!A3</f>
        <v>Dettol Antiseptic Disinfectant Liquid 500ml</v>
      </c>
      <c r="B8" s="3" t="str">
        <f>'Bulk Upload Template'!B3</f>
        <v>Sanitary Wears</v>
      </c>
      <c r="C8" s="4">
        <f>'Bulk Upload Template'!D3</f>
        <v>3800</v>
      </c>
      <c r="D8" s="4">
        <f>'Bulk Upload Template'!E3</f>
        <v>2900</v>
      </c>
      <c r="E8" s="4">
        <f>C8-D8</f>
        <v>900</v>
      </c>
      <c r="F8" s="10">
        <f>E8/C8</f>
        <v>0.23684210526315788</v>
      </c>
      <c r="G8" s="4">
        <f>'Bulk Upload Template'!F3</f>
        <v>180</v>
      </c>
      <c r="H8" s="4">
        <f>D8*G8</f>
        <v>522000</v>
      </c>
      <c r="I8" s="4">
        <f>C8*G8</f>
        <v>684000</v>
      </c>
    </row>
    <row r="9" spans="1:9" ht="20" customHeight="1" x14ac:dyDescent="0.35">
      <c r="A9" s="5" t="str">
        <f>'Bulk Upload Template'!A4</f>
        <v>Kotex Maxi Super Pads with Wings (Pack of 16)</v>
      </c>
      <c r="B9" s="6" t="str">
        <f>'Bulk Upload Template'!B4</f>
        <v>Sanitary Wears</v>
      </c>
      <c r="C9" s="7">
        <f>'Bulk Upload Template'!D4</f>
        <v>2200</v>
      </c>
      <c r="D9" s="7">
        <f>'Bulk Upload Template'!E4</f>
        <v>1600</v>
      </c>
      <c r="E9" s="7">
        <f>C9-D9</f>
        <v>600</v>
      </c>
      <c r="F9" s="9">
        <f>E9/C9</f>
        <v>0.27272727272727271</v>
      </c>
      <c r="G9" s="7">
        <f>'Bulk Upload Template'!F4</f>
        <v>200</v>
      </c>
      <c r="H9" s="7">
        <f>D9*G9</f>
        <v>320000</v>
      </c>
      <c r="I9" s="7">
        <f>C9*G9</f>
        <v>440000</v>
      </c>
    </row>
    <row r="10" spans="1:9" ht="20" customHeight="1" x14ac:dyDescent="0.35">
      <c r="A10" s="2" t="str">
        <f>'Bulk Upload Template'!A5</f>
        <v>Carefree Cotton Feel Normal Pantyliners (30 Pack)</v>
      </c>
      <c r="B10" s="3" t="str">
        <f>'Bulk Upload Template'!B5</f>
        <v>Sanitary Wears</v>
      </c>
      <c r="C10" s="4">
        <f>'Bulk Upload Template'!D5</f>
        <v>1900</v>
      </c>
      <c r="D10" s="4">
        <f>'Bulk Upload Template'!E5</f>
        <v>1350</v>
      </c>
      <c r="E10" s="4">
        <f>C10-D10</f>
        <v>550</v>
      </c>
      <c r="F10" s="10">
        <f>E10/C10</f>
        <v>0.28947368421052633</v>
      </c>
      <c r="G10" s="4">
        <f>'Bulk Upload Template'!F5</f>
        <v>150</v>
      </c>
      <c r="H10" s="4">
        <f>D10*G10</f>
        <v>202500</v>
      </c>
      <c r="I10" s="4">
        <f>C10*G10</f>
        <v>285000</v>
      </c>
    </row>
    <row r="11" spans="1:9" ht="20" customHeight="1" x14ac:dyDescent="0.35">
      <c r="A11" s="5" t="str">
        <f>'Bulk Upload Template'!A6</f>
        <v>Huggies Natural Care Baby Wipes (Pack of 56)</v>
      </c>
      <c r="B11" s="6" t="str">
        <f>'Bulk Upload Template'!B6</f>
        <v>Sanitary Wears</v>
      </c>
      <c r="C11" s="7">
        <f>'Bulk Upload Template'!D6</f>
        <v>3100</v>
      </c>
      <c r="D11" s="7">
        <f>'Bulk Upload Template'!E6</f>
        <v>2200</v>
      </c>
      <c r="E11" s="7">
        <f>C11-D11</f>
        <v>900</v>
      </c>
      <c r="F11" s="9">
        <f>E11/C11</f>
        <v>0.29032258064516131</v>
      </c>
      <c r="G11" s="7">
        <f>'Bulk Upload Template'!F6</f>
        <v>120</v>
      </c>
      <c r="H11" s="7">
        <f>D11*G11</f>
        <v>264000</v>
      </c>
      <c r="I11" s="7">
        <f>C11*G11</f>
        <v>372000</v>
      </c>
    </row>
    <row r="12" spans="1:9" ht="24" customHeight="1" x14ac:dyDescent="0.45">
      <c r="A12" s="11" t="s">
        <v>49</v>
      </c>
      <c r="B12" s="12" t="s">
        <v>50</v>
      </c>
      <c r="C12" s="13">
        <f>AVERAGE(C7:C11)</f>
        <v>2700</v>
      </c>
      <c r="D12" s="13">
        <f>AVERAGE(D7:D11)</f>
        <v>1970</v>
      </c>
      <c r="E12" s="13">
        <f>AVERAGE(E7:E11)</f>
        <v>730</v>
      </c>
      <c r="F12" s="14">
        <f>AVERAGE(F7:F11)</f>
        <v>0.27387312856922363</v>
      </c>
      <c r="G12" s="13">
        <f>SUM(G7:G11)</f>
        <v>900</v>
      </c>
      <c r="H12" s="13">
        <f>SUM(H7:H11)</f>
        <v>1758500</v>
      </c>
      <c r="I12" s="13">
        <f>SUM(I7:I11)</f>
        <v>2406000</v>
      </c>
    </row>
  </sheetData>
  <mergeCells count="9">
    <mergeCell ref="A4:B4"/>
    <mergeCell ref="E4:F4"/>
    <mergeCell ref="A1:I1"/>
    <mergeCell ref="G4:I4"/>
    <mergeCell ref="G3:I3"/>
    <mergeCell ref="C3:D3"/>
    <mergeCell ref="A3:B3"/>
    <mergeCell ref="E3:F3"/>
    <mergeCell ref="C4:D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defaultRowHeight="14.5" x14ac:dyDescent="0.35"/>
  <cols>
    <col min="1" max="1" width="65" customWidth="1"/>
    <col min="2" max="2" width="26" customWidth="1"/>
    <col min="3" max="3" width="74" customWidth="1"/>
    <col min="4" max="4" width="86" customWidth="1"/>
    <col min="5" max="5" width="50" customWidth="1"/>
    <col min="6" max="6" width="14" customWidth="1"/>
  </cols>
  <sheetData>
    <row r="1" spans="1:6" ht="36" customHeight="1" x14ac:dyDescent="0.35">
      <c r="A1" s="22" t="s">
        <v>51</v>
      </c>
      <c r="B1" s="23"/>
      <c r="C1" s="23"/>
      <c r="D1" s="23"/>
      <c r="E1" s="23"/>
      <c r="F1" s="23"/>
    </row>
    <row r="3" spans="1:6" ht="26" customHeight="1" x14ac:dyDescent="0.35">
      <c r="A3" s="15" t="s">
        <v>52</v>
      </c>
      <c r="B3" s="15" t="s">
        <v>53</v>
      </c>
      <c r="C3" s="15" t="s">
        <v>54</v>
      </c>
      <c r="D3" s="15" t="s">
        <v>55</v>
      </c>
      <c r="E3" s="15" t="s">
        <v>56</v>
      </c>
      <c r="F3" s="15" t="s">
        <v>57</v>
      </c>
    </row>
    <row r="4" spans="1:6" ht="22" customHeight="1" x14ac:dyDescent="0.35">
      <c r="A4" s="16" t="s">
        <v>58</v>
      </c>
      <c r="B4" s="3" t="s">
        <v>59</v>
      </c>
      <c r="C4" s="2" t="s">
        <v>60</v>
      </c>
      <c r="D4" s="2" t="s">
        <v>61</v>
      </c>
      <c r="E4" s="3" t="s">
        <v>62</v>
      </c>
      <c r="F4" s="17" t="s">
        <v>63</v>
      </c>
    </row>
    <row r="5" spans="1:6" ht="22" customHeight="1" x14ac:dyDescent="0.35">
      <c r="A5" s="18" t="s">
        <v>64</v>
      </c>
      <c r="B5" s="6" t="s">
        <v>65</v>
      </c>
      <c r="C5" s="5" t="s">
        <v>66</v>
      </c>
      <c r="D5" s="5" t="s">
        <v>67</v>
      </c>
      <c r="E5" s="6" t="s">
        <v>68</v>
      </c>
      <c r="F5" s="17" t="s">
        <v>63</v>
      </c>
    </row>
    <row r="6" spans="1:6" ht="22" customHeight="1" x14ac:dyDescent="0.35">
      <c r="A6" s="16" t="s">
        <v>69</v>
      </c>
      <c r="B6" s="3" t="s">
        <v>70</v>
      </c>
      <c r="C6" s="2" t="s">
        <v>71</v>
      </c>
      <c r="D6" s="2" t="s">
        <v>72</v>
      </c>
      <c r="E6" s="3" t="s">
        <v>73</v>
      </c>
      <c r="F6" s="17" t="s">
        <v>63</v>
      </c>
    </row>
    <row r="7" spans="1:6" ht="22" customHeight="1" x14ac:dyDescent="0.35">
      <c r="A7" s="18" t="s">
        <v>74</v>
      </c>
      <c r="B7" s="6" t="s">
        <v>75</v>
      </c>
      <c r="C7" s="5" t="s">
        <v>76</v>
      </c>
      <c r="D7" s="5" t="s">
        <v>77</v>
      </c>
      <c r="E7" s="6" t="s">
        <v>78</v>
      </c>
      <c r="F7" s="17" t="s">
        <v>63</v>
      </c>
    </row>
    <row r="8" spans="1:6" ht="22" customHeight="1" x14ac:dyDescent="0.35">
      <c r="A8" s="16" t="s">
        <v>79</v>
      </c>
      <c r="B8" s="3" t="s">
        <v>80</v>
      </c>
      <c r="C8" s="2" t="s">
        <v>81</v>
      </c>
      <c r="D8" s="2" t="s">
        <v>82</v>
      </c>
      <c r="E8" s="3" t="s">
        <v>83</v>
      </c>
      <c r="F8" s="17" t="s">
        <v>63</v>
      </c>
    </row>
    <row r="9" spans="1:6" ht="22" customHeight="1" x14ac:dyDescent="0.35">
      <c r="A9" s="18" t="s">
        <v>84</v>
      </c>
      <c r="B9" s="6" t="s">
        <v>85</v>
      </c>
      <c r="C9" s="5" t="s">
        <v>86</v>
      </c>
      <c r="D9" s="5" t="s">
        <v>87</v>
      </c>
      <c r="E9" s="6" t="s">
        <v>88</v>
      </c>
      <c r="F9" s="17" t="s">
        <v>63</v>
      </c>
    </row>
    <row r="10" spans="1:6" ht="22" customHeight="1" x14ac:dyDescent="0.35">
      <c r="A10" s="16" t="s">
        <v>89</v>
      </c>
      <c r="B10" s="3" t="s">
        <v>90</v>
      </c>
      <c r="C10" s="2" t="s">
        <v>91</v>
      </c>
      <c r="D10" s="2" t="s">
        <v>92</v>
      </c>
      <c r="E10" s="3" t="s">
        <v>93</v>
      </c>
      <c r="F10" s="17" t="s">
        <v>63</v>
      </c>
    </row>
    <row r="11" spans="1:6" ht="22" customHeight="1" x14ac:dyDescent="0.35">
      <c r="A11" s="18" t="s">
        <v>94</v>
      </c>
      <c r="B11" s="6" t="s">
        <v>95</v>
      </c>
      <c r="C11" s="5" t="s">
        <v>96</v>
      </c>
      <c r="D11" s="5" t="s">
        <v>97</v>
      </c>
      <c r="E11" s="6" t="s">
        <v>98</v>
      </c>
      <c r="F11" s="17" t="s">
        <v>63</v>
      </c>
    </row>
    <row r="12" spans="1:6" ht="22" customHeight="1" x14ac:dyDescent="0.35">
      <c r="A12" s="16" t="s">
        <v>99</v>
      </c>
      <c r="B12" s="3" t="s">
        <v>100</v>
      </c>
      <c r="C12" s="2" t="s">
        <v>101</v>
      </c>
      <c r="D12" s="2" t="s">
        <v>102</v>
      </c>
      <c r="E12" s="3" t="s">
        <v>103</v>
      </c>
      <c r="F12" s="17" t="s">
        <v>63</v>
      </c>
    </row>
    <row r="13" spans="1:6" ht="22" customHeight="1" x14ac:dyDescent="0.35">
      <c r="A13" s="18" t="s">
        <v>104</v>
      </c>
      <c r="B13" s="6" t="s">
        <v>105</v>
      </c>
      <c r="C13" s="5" t="s">
        <v>106</v>
      </c>
      <c r="D13" s="5" t="s">
        <v>107</v>
      </c>
      <c r="E13" s="6" t="s">
        <v>108</v>
      </c>
      <c r="F13" s="17" t="s">
        <v>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 Upload Template</vt:lpstr>
      <vt:lpstr>Dashboard &amp; Summary</vt:lpstr>
      <vt:lpstr>QA Test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godok84liv@yahoo.com</cp:lastModifiedBy>
  <dcterms:created xsi:type="dcterms:W3CDTF">2026-08-06T11:48:13Z</dcterms:created>
  <dcterms:modified xsi:type="dcterms:W3CDTF">2026-08-06T11:51:36Z</dcterms:modified>
</cp:coreProperties>
</file>